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 Log" sheetId="1" state="visible" r:id="rId1"/>
    <sheet name="Hướng dẫn" sheetId="2" state="visible" r:id="rId2"/>
  </sheets>
  <definedNames>
    <definedName name="_xlnm._FilterDatabase" localSheetId="0" hidden="1">'Issue Log'!$A$1:$L$401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B63"/>
      <sz val="15"/>
    </font>
    <font>
      <name val="Arial"/>
      <i val="1"/>
      <color rgb="005B6B85"/>
    </font>
    <font>
      <name val="Arial"/>
      <b val="1"/>
      <color rgb="001F3B63"/>
      <sz val="13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2">
    <border>
      <left/>
      <right/>
      <top/>
      <bottom/>
      <diagonal/>
    </border>
    <border>
      <left style="thin">
        <color rgb="00D5DEEB"/>
      </left>
      <right style="thin">
        <color rgb="00D5DEEB"/>
      </right>
      <top style="thin">
        <color rgb="00D5DEEB"/>
      </top>
      <bottom style="thin">
        <color rgb="00D5DE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7">
    <dxf>
      <font>
        <name val="Arial"/>
        <b val="1"/>
        <color rgb="00C0392B"/>
        <sz val="10"/>
      </font>
      <fill>
        <patternFill patternType="solid">
          <fgColor rgb="00F8C9C4"/>
        </patternFill>
      </fill>
    </dxf>
    <dxf>
      <fill>
        <patternFill patternType="solid">
          <fgColor rgb="00FCE3C6"/>
        </patternFill>
      </fill>
    </dxf>
    <dxf>
      <fill>
        <patternFill patternType="solid">
          <fgColor rgb="00FDE0DD"/>
        </patternFill>
      </fill>
    </dxf>
    <dxf>
      <fill>
        <patternFill patternType="solid">
          <fgColor rgb="00FCF3D2"/>
        </patternFill>
      </fill>
    </dxf>
    <dxf>
      <fill>
        <patternFill patternType="solid">
          <fgColor rgb="00D9E7FB"/>
        </patternFill>
      </fill>
    </dxf>
    <dxf>
      <fill>
        <patternFill patternType="solid">
          <fgColor rgb="00D7EEE1"/>
        </patternFill>
      </fill>
    </dxf>
    <dxf>
      <fill>
        <patternFill patternType="solid">
          <fgColor rgb="00E4E9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24" customWidth="1" min="5" max="5"/>
    <col width="42" customWidth="1" min="6" max="6"/>
    <col width="34" customWidth="1" min="7" max="7"/>
    <col width="13" customWidth="1" min="8" max="8"/>
    <col width="13" customWidth="1" min="9" max="9"/>
    <col width="14" customWidth="1" min="10" max="10"/>
    <col width="36" customWidth="1" min="11" max="11"/>
    <col width="12" customWidth="1" min="12" max="12"/>
  </cols>
  <sheetData>
    <row r="1" ht="30" customHeight="1">
      <c r="A1" s="1" t="inlineStr">
        <is>
          <t>Mã</t>
        </is>
      </c>
      <c r="B1" s="1" t="inlineStr">
        <is>
          <t>Ngày báo</t>
        </is>
      </c>
      <c r="C1" s="1" t="inlineStr">
        <is>
          <t>Người báo</t>
        </is>
      </c>
      <c r="D1" s="1" t="inlineStr">
        <is>
          <t>Vai trò</t>
        </is>
      </c>
      <c r="E1" s="1" t="inlineStr">
        <is>
          <t>Màn hình / Chức năng</t>
        </is>
      </c>
      <c r="F1" s="1" t="inlineStr">
        <is>
          <t>Mô tả vấn đề</t>
        </is>
      </c>
      <c r="G1" s="1" t="inlineStr">
        <is>
          <t>Bước tái hiện</t>
        </is>
      </c>
      <c r="H1" s="1" t="inlineStr">
        <is>
          <t>Mức độ</t>
        </is>
      </c>
      <c r="I1" s="1" t="inlineStr">
        <is>
          <t>Trạng thái</t>
        </is>
      </c>
      <c r="J1" s="1" t="inlineStr">
        <is>
          <t>Người xử lý</t>
        </is>
      </c>
      <c r="K1" s="1" t="inlineStr">
        <is>
          <t>Cách xử lý / Ghi chú</t>
        </is>
      </c>
      <c r="L1" s="1" t="inlineStr">
        <is>
          <t>Ngày đóng</t>
        </is>
      </c>
    </row>
    <row r="2">
      <c r="A2" s="2" t="inlineStr">
        <is>
          <t>LAB-001</t>
        </is>
      </c>
      <c r="B2" s="2" t="inlineStr">
        <is>
          <t>02/09/2026</t>
        </is>
      </c>
      <c r="C2" s="2" t="inlineStr">
        <is>
          <t>KTV Hiếu</t>
        </is>
      </c>
      <c r="D2" s="2" t="inlineStr">
        <is>
          <t>Phòng XN</t>
        </is>
      </c>
      <c r="E2" s="2" t="inlineStr">
        <is>
          <t>Phân công NV lấy mẫu</t>
        </is>
      </c>
      <c r="F2" s="2" t="inlineStr">
        <is>
          <t>Bấm 'Phân công &amp; sinh SID' báo Lỗi 500, không phân công được nên không có SID in tem.</t>
        </is>
      </c>
      <c r="G2" s="2" t="inlineStr">
        <is>
          <t>Mở phiếu khách lẻ (Chờ lấy mẫu) → nhập giờ hẹn → Phân công</t>
        </is>
      </c>
      <c r="H2" s="2" t="inlineStr">
        <is>
          <t>Cao</t>
        </is>
      </c>
      <c r="I2" s="2" t="inlineStr">
        <is>
          <t>Đã sửa</t>
        </is>
      </c>
      <c r="J2" s="2" t="inlineStr">
        <is>
          <t>Dev</t>
        </is>
      </c>
      <c r="K2" s="2" t="inlineStr">
        <is>
          <t>Chuẩn hoá thời gian về UTC trước khi lưu (Npgsql). Đã vá + redeploy.</t>
        </is>
      </c>
      <c r="L2" s="2" t="inlineStr">
        <is>
          <t>02/09/2026</t>
        </is>
      </c>
    </row>
    <row r="3">
      <c r="A3" s="2" t="inlineStr">
        <is>
          <t>LAB-002</t>
        </is>
      </c>
      <c r="B3" s="2" t="inlineStr">
        <is>
          <t>02/09/2026</t>
        </is>
      </c>
      <c r="C3" s="2" t="inlineStr">
        <is>
          <t>KTV Hiếu</t>
        </is>
      </c>
      <c r="D3" s="2" t="inlineStr">
        <is>
          <t>Phòng XN</t>
        </is>
      </c>
      <c r="E3" s="2" t="inlineStr">
        <is>
          <t>Danh sách phiếu / Tiến trình mẫu</t>
        </is>
      </c>
      <c r="F3" s="2" t="inlineStr">
        <is>
          <t>Tên bệnh nhân / người lấy hiển thị mất dấu, thành dấu '?'.</t>
        </is>
      </c>
      <c r="G3" s="2" t="inlineStr">
        <is>
          <t>Xem danh sách phiếu</t>
        </is>
      </c>
      <c r="H3" s="2" t="inlineStr">
        <is>
          <t>Trung bình</t>
        </is>
      </c>
      <c r="I3" s="2" t="inlineStr">
        <is>
          <t>Đã đóng</t>
        </is>
      </c>
      <c r="J3" s="2" t="inlineStr">
        <is>
          <t>Dev</t>
        </is>
      </c>
      <c r="K3" s="2" t="inlineStr">
        <is>
          <t>Không phải lỗi app: dữ liệu do công cụ dòng lệnh (curl) tạo bị hỏng dấu. Nhập qua giao diện lưu đúng. Đã reset dữ liệu test.</t>
        </is>
      </c>
      <c r="L3" s="2" t="inlineStr">
        <is>
          <t>02/09/2026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</sheetData>
  <autoFilter ref="A1:L401"/>
  <conditionalFormatting sqref="H2:H401">
    <cfRule type="cellIs" priority="1" operator="equal" dxfId="0">
      <formula>"Nghiêm trọng"</formula>
    </cfRule>
    <cfRule type="cellIs" priority="2" operator="equal" dxfId="1">
      <formula>"Cao"</formula>
    </cfRule>
  </conditionalFormatting>
  <conditionalFormatting sqref="I2:I401">
    <cfRule type="cellIs" priority="3" operator="equal" dxfId="2">
      <formula>"Mới"</formula>
    </cfRule>
    <cfRule type="cellIs" priority="4" operator="equal" dxfId="3">
      <formula>"Đang xử lý"</formula>
    </cfRule>
    <cfRule type="cellIs" priority="5" operator="equal" dxfId="4">
      <formula>"Đã sửa"</formula>
    </cfRule>
    <cfRule type="cellIs" priority="6" operator="equal" dxfId="5">
      <formula>"Đã đóng"</formula>
    </cfRule>
    <cfRule type="cellIs" priority="7" operator="equal" dxfId="6">
      <formula>"Không sửa"</formula>
    </cfRule>
  </conditionalFormatting>
  <dataValidations count="3">
    <dataValidation sqref="D2:D401" showDropDown="0" showInputMessage="0" showErrorMessage="0" allowBlank="1" type="list">
      <formula1>"Bác sĩ / PK,Khách lẻ,Phòng XN,Quản trị,Khác"</formula1>
    </dataValidation>
    <dataValidation sqref="H2:H401" showDropDown="0" showInputMessage="0" showErrorMessage="0" allowBlank="1" type="list">
      <formula1>"Nghiêm trọng,Cao,Trung bình,Thấp"</formula1>
    </dataValidation>
    <dataValidation sqref="I2:I401" showDropDown="0" showInputMessage="0" showErrorMessage="0" allowBlank="1" type="list">
      <formula1>"Mới,Đang xử lý,Đã sửa,Đã đóng,Không sửa"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60" customWidth="1" min="3" max="3"/>
  </cols>
  <sheetData>
    <row r="1">
      <c r="A1" s="3" t="inlineStr">
        <is>
          <t>LabLink — Sổ theo dõi Issue</t>
        </is>
      </c>
    </row>
    <row r="2">
      <c r="A2" s="4" t="inlineStr">
        <is>
          <t>Ghi nhận &amp; quản lý lỗi/góp ý trong quá trình dùng thử.</t>
        </is>
      </c>
    </row>
    <row r="4">
      <c r="A4" s="5" t="inlineStr">
        <is>
          <t>Cách dùng</t>
        </is>
      </c>
    </row>
    <row r="5">
      <c r="A5" s="6" t="inlineStr">
        <is>
          <t>• Mỗi lỗi/góp ý ghi 1 dòng ở sheet 'Issue Log', bắt đầu từ cột Mã (LAB-003, LAB-004…).</t>
        </is>
      </c>
    </row>
    <row r="6">
      <c r="A6" s="6" t="inlineStr">
        <is>
          <t>• Cột Vai trò / Mức độ / Trạng thái chọn từ danh sách xổ xuống.</t>
        </is>
      </c>
    </row>
    <row r="7">
      <c r="A7" s="6" t="inlineStr">
        <is>
          <t>• Điền đầy đủ 'Mô tả vấn đề' và 'Bước tái hiện' để dev tái hiện &amp; sửa nhanh.</t>
        </is>
      </c>
    </row>
    <row r="8">
      <c r="A8" s="6" t="inlineStr">
        <is>
          <t>• Khi xử lý xong: cập nhật Trạng thái, người xử lý, cách xử lý và ngày đóng.</t>
        </is>
      </c>
    </row>
    <row r="10">
      <c r="A10" s="5" t="inlineStr">
        <is>
          <t>Mức độ</t>
        </is>
      </c>
    </row>
    <row r="11">
      <c r="A11" s="7" t="inlineStr">
        <is>
          <t>Nghiêm trọng</t>
        </is>
      </c>
      <c r="C11" s="6" t="inlineStr">
        <is>
          <t>Chặn nghiệp vụ / mất dữ liệu — xử lý ngay.</t>
        </is>
      </c>
    </row>
    <row r="12">
      <c r="A12" s="7" t="inlineStr">
        <is>
          <t>Cao</t>
        </is>
      </c>
      <c r="C12" s="6" t="inlineStr">
        <is>
          <t>Sai chức năng chính, có cách né tạm.</t>
        </is>
      </c>
    </row>
    <row r="13">
      <c r="A13" s="7" t="inlineStr">
        <is>
          <t>Trung bình</t>
        </is>
      </c>
      <c r="C13" s="6" t="inlineStr">
        <is>
          <t>Lỗi nhỏ / hiển thị, không chặn.</t>
        </is>
      </c>
    </row>
    <row r="14">
      <c r="A14" s="7" t="inlineStr">
        <is>
          <t>Thấp</t>
        </is>
      </c>
      <c r="C14" s="6" t="inlineStr">
        <is>
          <t>Góp ý, cải thiện trải nghiệm.</t>
        </is>
      </c>
    </row>
    <row r="16">
      <c r="A16" s="5" t="inlineStr">
        <is>
          <t>Trạng thái</t>
        </is>
      </c>
    </row>
    <row r="17">
      <c r="A17" s="7" t="inlineStr">
        <is>
          <t>Mới</t>
        </is>
      </c>
      <c r="C17" s="6" t="inlineStr">
        <is>
          <t>Vừa ghi nhận, chưa xử lý.</t>
        </is>
      </c>
    </row>
    <row r="18">
      <c r="A18" s="7" t="inlineStr">
        <is>
          <t>Đang xử lý</t>
        </is>
      </c>
      <c r="C18" s="6" t="inlineStr">
        <is>
          <t>Đang được sửa.</t>
        </is>
      </c>
    </row>
    <row r="19">
      <c r="A19" s="7" t="inlineStr">
        <is>
          <t>Đã sửa</t>
        </is>
      </c>
      <c r="C19" s="6" t="inlineStr">
        <is>
          <t>Đã sửa, chờ kiểm thử lại.</t>
        </is>
      </c>
    </row>
    <row r="20">
      <c r="A20" s="7" t="inlineStr">
        <is>
          <t>Đã đóng</t>
        </is>
      </c>
      <c r="C20" s="6" t="inlineStr">
        <is>
          <t>Đã xác nhận xong.</t>
        </is>
      </c>
    </row>
    <row r="21">
      <c r="A21" s="7" t="inlineStr">
        <is>
          <t>Không sửa</t>
        </is>
      </c>
      <c r="C21" s="6" t="inlineStr">
        <is>
          <t>Không phải lỗi / không xử lý.</t>
        </is>
      </c>
    </row>
    <row r="23">
      <c r="A23" s="5" t="inlineStr">
        <is>
          <t>Thống kê nhanh</t>
        </is>
      </c>
    </row>
    <row r="24">
      <c r="A24" s="7" t="inlineStr">
        <is>
          <t>Theo trạng thái</t>
        </is>
      </c>
    </row>
    <row r="25">
      <c r="A25" s="6" t="inlineStr">
        <is>
          <t>Mới</t>
        </is>
      </c>
      <c r="B25" s="6">
        <f>COUNTIF('Issue Log'!$I$2:$I$401,"Mới")</f>
        <v/>
      </c>
    </row>
    <row r="26">
      <c r="A26" s="6" t="inlineStr">
        <is>
          <t>Đang xử lý</t>
        </is>
      </c>
      <c r="B26" s="6">
        <f>COUNTIF('Issue Log'!$I$2:$I$401,"Đang xử lý")</f>
        <v/>
      </c>
    </row>
    <row r="27">
      <c r="A27" s="6" t="inlineStr">
        <is>
          <t>Đã sửa</t>
        </is>
      </c>
      <c r="B27" s="6">
        <f>COUNTIF('Issue Log'!$I$2:$I$401,"Đã sửa")</f>
        <v/>
      </c>
    </row>
    <row r="28">
      <c r="A28" s="6" t="inlineStr">
        <is>
          <t>Đã đóng</t>
        </is>
      </c>
      <c r="B28" s="6">
        <f>COUNTIF('Issue Log'!$I$2:$I$401,"Đã đóng")</f>
        <v/>
      </c>
    </row>
    <row r="29">
      <c r="A29" s="6" t="inlineStr">
        <is>
          <t>Không sửa</t>
        </is>
      </c>
      <c r="B29" s="6">
        <f>COUNTIF('Issue Log'!$I$2:$I$401,"Không sửa")</f>
        <v/>
      </c>
    </row>
    <row r="30">
      <c r="A30" s="7" t="inlineStr">
        <is>
          <t>Tổng số issue</t>
        </is>
      </c>
      <c r="B30" s="7">
        <f>COUNTA('Issue Log'!$A$2:$A$401)</f>
        <v/>
      </c>
    </row>
  </sheetData>
  <mergeCells count="4">
    <mergeCell ref="A5:C5"/>
    <mergeCell ref="A7:C7"/>
    <mergeCell ref="A8:C8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2026-09-02T13:30:35Z</dcterms:created>
  <dcterms:modified xsi:type="dcterms:W3CDTF">2026-09-02T13:30:36Z</dcterms:modified>
</cp:coreProperties>
</file>